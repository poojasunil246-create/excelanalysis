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91c0bd8d8d1824/Desktop/Excel Beginner/"/>
    </mc:Choice>
  </mc:AlternateContent>
  <xr:revisionPtr revIDLastSave="16" documentId="8_{59308C45-9E3A-4ADB-8F09-BA2708844453}" xr6:coauthVersionLast="47" xr6:coauthVersionMax="47" xr10:uidLastSave="{E99386A4-CA02-4871-AA14-4DC79349B435}"/>
  <bookViews>
    <workbookView xWindow="-108" yWindow="-108" windowWidth="23256" windowHeight="12456" xr2:uid="{5AB8144E-28D0-44F6-AAA6-22C4A5B0E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N20" i="1"/>
  <c r="N21" i="1"/>
  <c r="N22" i="1"/>
  <c r="N19" i="1"/>
  <c r="O19" i="1"/>
  <c r="O21" i="1" s="1"/>
  <c r="P19" i="1"/>
  <c r="P21" i="1" s="1"/>
  <c r="Q19" i="1"/>
  <c r="O20" i="1"/>
  <c r="P20" i="1"/>
  <c r="Q20" i="1"/>
  <c r="Q21" i="1"/>
  <c r="O22" i="1"/>
  <c r="P22" i="1"/>
  <c r="Q22" i="1"/>
  <c r="R19" i="1"/>
  <c r="S19" i="1"/>
  <c r="T19" i="1"/>
  <c r="U19" i="1"/>
  <c r="V19" i="1"/>
  <c r="W19" i="1"/>
  <c r="W21" i="1" s="1"/>
  <c r="X19" i="1"/>
  <c r="X21" i="1" s="1"/>
  <c r="Y19" i="1"/>
  <c r="Z19" i="1"/>
  <c r="AA19" i="1"/>
  <c r="AB19" i="1"/>
  <c r="R20" i="1"/>
  <c r="S20" i="1"/>
  <c r="T20" i="1"/>
  <c r="U20" i="1"/>
  <c r="V20" i="1"/>
  <c r="W20" i="1"/>
  <c r="X20" i="1"/>
  <c r="Y20" i="1"/>
  <c r="Z20" i="1"/>
  <c r="AA20" i="1"/>
  <c r="AB20" i="1"/>
  <c r="R21" i="1"/>
  <c r="S21" i="1"/>
  <c r="T21" i="1"/>
  <c r="U21" i="1"/>
  <c r="V21" i="1"/>
  <c r="Y21" i="1"/>
  <c r="Z21" i="1"/>
  <c r="AA21" i="1"/>
  <c r="AB21" i="1"/>
  <c r="R22" i="1"/>
  <c r="S22" i="1"/>
  <c r="T22" i="1"/>
  <c r="U22" i="1"/>
  <c r="V22" i="1"/>
  <c r="W22" i="1"/>
  <c r="X22" i="1"/>
  <c r="Y22" i="1"/>
  <c r="Z22" i="1"/>
  <c r="AA22" i="1"/>
  <c r="AB22" i="1"/>
  <c r="AC21" i="1"/>
  <c r="AC20" i="1"/>
  <c r="AC19" i="1"/>
  <c r="AC22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5" i="1"/>
  <c r="AA11" i="1"/>
  <c r="Z11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5" i="1"/>
  <c r="AB4" i="1"/>
  <c r="Z4" i="1"/>
  <c r="AA4" i="1" s="1"/>
  <c r="Y4" i="1"/>
  <c r="Z5" i="1"/>
  <c r="AA6" i="1"/>
  <c r="AA7" i="1"/>
  <c r="AA8" i="1"/>
  <c r="AA9" i="1"/>
  <c r="AA10" i="1"/>
  <c r="AA12" i="1"/>
  <c r="AA13" i="1"/>
  <c r="AA14" i="1"/>
  <c r="AA15" i="1"/>
  <c r="AA16" i="1"/>
  <c r="AA17" i="1"/>
  <c r="AA5" i="1"/>
  <c r="Z6" i="1"/>
  <c r="Z7" i="1"/>
  <c r="Z8" i="1"/>
  <c r="Z9" i="1"/>
  <c r="Z10" i="1"/>
  <c r="Z12" i="1"/>
  <c r="Z13" i="1"/>
  <c r="Z14" i="1"/>
  <c r="Z15" i="1"/>
  <c r="Z16" i="1"/>
  <c r="Z17" i="1"/>
  <c r="Y6" i="1"/>
  <c r="Y7" i="1"/>
  <c r="Y8" i="1"/>
  <c r="Y9" i="1"/>
  <c r="Y10" i="1"/>
  <c r="Y11" i="1"/>
  <c r="Y12" i="1"/>
  <c r="Y13" i="1"/>
  <c r="Y14" i="1"/>
  <c r="Y15" i="1"/>
  <c r="Y16" i="1"/>
  <c r="Y17" i="1"/>
  <c r="Y5" i="1"/>
  <c r="X5" i="1"/>
  <c r="V5" i="1"/>
  <c r="T5" i="1"/>
  <c r="U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S6" i="1"/>
  <c r="S7" i="1"/>
  <c r="S8" i="1"/>
  <c r="S9" i="1"/>
  <c r="S10" i="1"/>
  <c r="S11" i="1"/>
  <c r="S12" i="1"/>
  <c r="S13" i="1"/>
  <c r="S14" i="1"/>
  <c r="S15" i="1"/>
  <c r="S16" i="1"/>
  <c r="S17" i="1"/>
  <c r="S5" i="1"/>
  <c r="U4" i="1"/>
  <c r="V4" i="1" s="1"/>
  <c r="W4" i="1" s="1"/>
  <c r="T4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P6" i="1"/>
  <c r="P7" i="1"/>
  <c r="P8" i="1"/>
  <c r="P9" i="1"/>
  <c r="P10" i="1"/>
  <c r="P11" i="1"/>
  <c r="P12" i="1"/>
  <c r="P13" i="1"/>
  <c r="P14" i="1"/>
  <c r="P15" i="1"/>
  <c r="P16" i="1"/>
  <c r="P17" i="1"/>
  <c r="P5" i="1"/>
  <c r="O5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O17" i="1"/>
  <c r="O16" i="1"/>
  <c r="O15" i="1"/>
  <c r="O14" i="1"/>
  <c r="O13" i="1"/>
  <c r="O12" i="1"/>
  <c r="O11" i="1"/>
  <c r="O10" i="1"/>
  <c r="O9" i="1"/>
  <c r="O8" i="1"/>
  <c r="O7" i="1"/>
  <c r="O6" i="1"/>
  <c r="N6" i="1"/>
  <c r="N7" i="1"/>
  <c r="N8" i="1"/>
  <c r="N9" i="1"/>
  <c r="N10" i="1"/>
  <c r="N11" i="1"/>
  <c r="N12" i="1"/>
  <c r="N13" i="1"/>
  <c r="N14" i="1"/>
  <c r="N15" i="1"/>
  <c r="N16" i="1"/>
  <c r="N17" i="1"/>
  <c r="N5" i="1"/>
  <c r="O4" i="1"/>
  <c r="P4" i="1" s="1"/>
  <c r="Q4" i="1" s="1"/>
  <c r="R4" i="1" s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5" i="1"/>
  <c r="J4" i="1"/>
  <c r="K4" i="1" s="1"/>
  <c r="L4" i="1" s="1"/>
  <c r="M4" i="1" s="1"/>
  <c r="E4" i="1"/>
  <c r="F4" i="1" s="1"/>
  <c r="G4" i="1" s="1"/>
  <c r="H4" i="1" s="1"/>
  <c r="X7" i="1" l="1"/>
  <c r="X13" i="1"/>
  <c r="X16" i="1"/>
  <c r="X17" i="1"/>
  <c r="X8" i="1"/>
  <c r="X14" i="1"/>
  <c r="X12" i="1"/>
  <c r="X15" i="1"/>
  <c r="X11" i="1"/>
  <c r="X6" i="1"/>
  <c r="X10" i="1"/>
  <c r="X9" i="1"/>
</calcChain>
</file>

<file path=xl/sharedStrings.xml><?xml version="1.0" encoding="utf-8"?>
<sst xmlns="http://schemas.openxmlformats.org/spreadsheetml/2006/main" count="41" uniqueCount="41">
  <si>
    <t xml:space="preserve">Last name   </t>
  </si>
  <si>
    <t>First name</t>
  </si>
  <si>
    <t>Anu</t>
  </si>
  <si>
    <t>stephen</t>
  </si>
  <si>
    <t>Gregory</t>
  </si>
  <si>
    <t>Mathew</t>
  </si>
  <si>
    <t>Vinu</t>
  </si>
  <si>
    <t>Murali</t>
  </si>
  <si>
    <t>Shetty</t>
  </si>
  <si>
    <t>Shilpa</t>
  </si>
  <si>
    <t>Sevag</t>
  </si>
  <si>
    <t>Nishand</t>
  </si>
  <si>
    <t>Murty</t>
  </si>
  <si>
    <t>Arun</t>
  </si>
  <si>
    <t>Employer Payroll</t>
  </si>
  <si>
    <t>Raju</t>
  </si>
  <si>
    <t>Sunil</t>
  </si>
  <si>
    <t>I</t>
  </si>
  <si>
    <t>Lal</t>
  </si>
  <si>
    <t>Biju</t>
  </si>
  <si>
    <t>Anakha</t>
  </si>
  <si>
    <t>Anupriya</t>
  </si>
  <si>
    <t>Lekshmi</t>
  </si>
  <si>
    <t>Amrutha</t>
  </si>
  <si>
    <t>A</t>
  </si>
  <si>
    <t>Vaheeda</t>
  </si>
  <si>
    <t>Krishnapriya</t>
  </si>
  <si>
    <t>J S</t>
  </si>
  <si>
    <t>Average</t>
  </si>
  <si>
    <t>Maximum</t>
  </si>
  <si>
    <t>Minimum</t>
  </si>
  <si>
    <t>total</t>
  </si>
  <si>
    <t>Pooja Sunil</t>
  </si>
  <si>
    <t>Giri</t>
  </si>
  <si>
    <t>Hourly wage</t>
  </si>
  <si>
    <t>Pay</t>
  </si>
  <si>
    <t>Overtime hours</t>
  </si>
  <si>
    <t>Overtime bonus</t>
  </si>
  <si>
    <t>Total Pay</t>
  </si>
  <si>
    <t>House Worked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</si>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</sst>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" fontId="0" fillId="0" borderId="0" xfId="1" applyNumberFormat="1" applyFont="1"/>
    <xf numFmtId="44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164" fontId="0" fillId="4" borderId="0" xfId="0" applyNumberFormat="1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164" fontId="0" fillId="6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C9CE-6911-4609-9C14-2C4EBD685B96}">
  <sheetPr>
    <pageSetUpPr fitToPage="1"/>
  </sheetPr>
  <dimension ref="A1:AF22"/>
  <sheetViews>
    <sheetView tabSelected="1" zoomScale="73" zoomScaleNormal="73" workbookViewId="0">
      <selection activeCell="O38" sqref="O38"/>
    </sheetView>
  </sheetViews>
  <sheetFormatPr defaultRowHeight="14.4" x14ac:dyDescent="0.3"/>
  <cols>
    <col min="1" max="1" width="15.44140625" customWidth="1"/>
    <col min="2" max="2" width="11.44140625" customWidth="1"/>
    <col min="3" max="3" width="11.6640625" customWidth="1"/>
    <col min="4" max="4" width="12.77734375" customWidth="1"/>
    <col min="5" max="5" width="6.77734375" customWidth="1"/>
    <col min="6" max="6" width="7.44140625" customWidth="1"/>
    <col min="7" max="7" width="6.88671875" customWidth="1"/>
    <col min="8" max="8" width="7.5546875" customWidth="1"/>
    <col min="9" max="9" width="13.33203125" customWidth="1"/>
    <col min="10" max="10" width="6.33203125" customWidth="1"/>
    <col min="11" max="11" width="6.44140625" customWidth="1"/>
    <col min="12" max="12" width="6.88671875" customWidth="1"/>
    <col min="13" max="13" width="8.5546875" customWidth="1"/>
    <col min="14" max="14" width="11.44140625" bestFit="1" customWidth="1"/>
    <col min="15" max="15" width="14.109375" customWidth="1"/>
    <col min="16" max="16" width="11.44140625" customWidth="1"/>
    <col min="17" max="17" width="12.109375" customWidth="1"/>
    <col min="18" max="18" width="11.21875" customWidth="1"/>
    <col min="19" max="23" width="15" customWidth="1"/>
    <col min="24" max="24" width="11.33203125" customWidth="1"/>
    <col min="25" max="25" width="10.88671875" customWidth="1"/>
    <col min="26" max="26" width="12.109375" customWidth="1"/>
    <col min="27" max="27" width="10.88671875" customWidth="1"/>
    <col min="28" max="28" width="10.33203125" customWidth="1"/>
    <col min="29" max="29" width="19.44140625" customWidth="1"/>
  </cols>
  <sheetData>
    <row r="1" spans="1:29" x14ac:dyDescent="0.3">
      <c r="A1" t="s">
        <v>14</v>
      </c>
      <c r="C1" t="s">
        <v>32</v>
      </c>
    </row>
    <row r="3" spans="1:29" x14ac:dyDescent="0.3">
      <c r="D3" t="s">
        <v>39</v>
      </c>
      <c r="I3" t="s">
        <v>36</v>
      </c>
      <c r="N3" t="s">
        <v>35</v>
      </c>
      <c r="S3" t="s">
        <v>37</v>
      </c>
      <c r="X3" t="s">
        <v>38</v>
      </c>
      <c r="AC3" t="s">
        <v>40</v>
      </c>
    </row>
    <row r="4" spans="1:29" x14ac:dyDescent="0.3">
      <c r="A4" t="s">
        <v>0</v>
      </c>
      <c r="B4" t="s">
        <v>1</v>
      </c>
      <c r="C4" t="s">
        <v>34</v>
      </c>
      <c r="D4" s="4">
        <v>45658</v>
      </c>
      <c r="E4" s="4">
        <f>D4+7</f>
        <v>45665</v>
      </c>
      <c r="F4" s="4">
        <f t="shared" ref="F4:H4" si="0">E4+7</f>
        <v>45672</v>
      </c>
      <c r="G4" s="4">
        <f t="shared" si="0"/>
        <v>45679</v>
      </c>
      <c r="H4" s="4">
        <f t="shared" si="0"/>
        <v>45686</v>
      </c>
      <c r="I4" s="6">
        <v>45658</v>
      </c>
      <c r="J4" s="6">
        <f>I4+7</f>
        <v>45665</v>
      </c>
      <c r="K4" s="6">
        <f t="shared" ref="K4:L4" si="1">J4+7</f>
        <v>45672</v>
      </c>
      <c r="L4" s="6">
        <f t="shared" si="1"/>
        <v>45679</v>
      </c>
      <c r="M4" s="6">
        <f>L4+7</f>
        <v>45686</v>
      </c>
      <c r="N4" s="8">
        <v>45658</v>
      </c>
      <c r="O4" s="8">
        <f>N4+7</f>
        <v>45665</v>
      </c>
      <c r="P4" s="8">
        <f t="shared" ref="P4:R4" si="2">O4+7</f>
        <v>45672</v>
      </c>
      <c r="Q4" s="8">
        <f t="shared" si="2"/>
        <v>45679</v>
      </c>
      <c r="R4" s="8">
        <f t="shared" si="2"/>
        <v>45686</v>
      </c>
      <c r="S4" s="10">
        <v>45658</v>
      </c>
      <c r="T4" s="10">
        <f>S4+7</f>
        <v>45665</v>
      </c>
      <c r="U4" s="10">
        <f t="shared" ref="U4:W4" si="3">T4+7</f>
        <v>45672</v>
      </c>
      <c r="V4" s="10">
        <f t="shared" si="3"/>
        <v>45679</v>
      </c>
      <c r="W4" s="10">
        <f t="shared" si="3"/>
        <v>45686</v>
      </c>
      <c r="X4" s="12">
        <v>45658</v>
      </c>
      <c r="Y4" s="12">
        <f>X4+7</f>
        <v>45665</v>
      </c>
      <c r="Z4" s="12">
        <f t="shared" ref="Z4:AB4" si="4">Y4+7</f>
        <v>45672</v>
      </c>
      <c r="AA4" s="12">
        <f t="shared" si="4"/>
        <v>45679</v>
      </c>
      <c r="AB4" s="12">
        <f t="shared" si="4"/>
        <v>45686</v>
      </c>
      <c r="AC4" s="1"/>
    </row>
    <row r="5" spans="1:29" x14ac:dyDescent="0.3">
      <c r="A5" t="s">
        <v>3</v>
      </c>
      <c r="B5" t="s">
        <v>2</v>
      </c>
      <c r="C5" s="1">
        <v>29</v>
      </c>
      <c r="D5" s="5">
        <v>40</v>
      </c>
      <c r="E5" s="5">
        <v>40</v>
      </c>
      <c r="F5" s="5">
        <v>36</v>
      </c>
      <c r="G5" s="5">
        <v>50</v>
      </c>
      <c r="H5" s="5">
        <v>60</v>
      </c>
      <c r="I5" s="7">
        <f>IF(D5&gt;40,D5-40,0)</f>
        <v>0</v>
      </c>
      <c r="J5" s="7">
        <f>IF(E5&gt;40,E5-40,0)</f>
        <v>0</v>
      </c>
      <c r="K5" s="7">
        <f>IF(F5&gt;40,F5-40,0)</f>
        <v>0</v>
      </c>
      <c r="L5" s="7">
        <f>IF(G5&gt;40,G5-40,0)</f>
        <v>10</v>
      </c>
      <c r="M5" s="7">
        <f>IF(H5&gt;40,H5-40,0)</f>
        <v>20</v>
      </c>
      <c r="N5" s="9">
        <f>$C5*D5</f>
        <v>1160</v>
      </c>
      <c r="O5" s="9">
        <f>$C5*E5</f>
        <v>1160</v>
      </c>
      <c r="P5" s="9">
        <f>$C5*F5</f>
        <v>1044</v>
      </c>
      <c r="Q5" s="9">
        <f>$C5*G5</f>
        <v>1450</v>
      </c>
      <c r="R5" s="9">
        <f>$C5*H5</f>
        <v>1740</v>
      </c>
      <c r="S5" s="11">
        <f>0.5*$C5*I5</f>
        <v>0</v>
      </c>
      <c r="T5" s="11">
        <f t="shared" ref="T5:W17" si="5">0.5*$C5*J5</f>
        <v>0</v>
      </c>
      <c r="U5" s="11">
        <f t="shared" si="5"/>
        <v>0</v>
      </c>
      <c r="V5" s="11">
        <f>0.5*$C5*L5</f>
        <v>145</v>
      </c>
      <c r="W5" s="11">
        <f t="shared" si="5"/>
        <v>290</v>
      </c>
      <c r="X5" s="13">
        <f>N5+S5</f>
        <v>1160</v>
      </c>
      <c r="Y5" s="13">
        <f>O5+T5</f>
        <v>1160</v>
      </c>
      <c r="Z5" s="13">
        <f>P5+U5</f>
        <v>1044</v>
      </c>
      <c r="AA5" s="13">
        <f>Q5+V5</f>
        <v>1595</v>
      </c>
      <c r="AB5" s="13">
        <f>R5+W5</f>
        <v>2030</v>
      </c>
      <c r="AC5" s="1">
        <f>SUM(X5:AB5)</f>
        <v>6989</v>
      </c>
    </row>
    <row r="6" spans="1:29" x14ac:dyDescent="0.3">
      <c r="A6" t="s">
        <v>4</v>
      </c>
      <c r="B6" t="s">
        <v>5</v>
      </c>
      <c r="C6" s="1">
        <v>15</v>
      </c>
      <c r="D6" s="5">
        <v>42</v>
      </c>
      <c r="E6" s="5">
        <v>42</v>
      </c>
      <c r="F6" s="5">
        <v>37</v>
      </c>
      <c r="G6" s="5">
        <v>54</v>
      </c>
      <c r="H6" s="5">
        <v>61</v>
      </c>
      <c r="I6" s="7">
        <f t="shared" ref="I6:M17" si="6">IF(D6&gt;40,D6-40,0)</f>
        <v>2</v>
      </c>
      <c r="J6" s="7">
        <f t="shared" si="6"/>
        <v>2</v>
      </c>
      <c r="K6" s="7">
        <f t="shared" si="6"/>
        <v>0</v>
      </c>
      <c r="L6" s="7">
        <f t="shared" si="6"/>
        <v>14</v>
      </c>
      <c r="M6" s="7">
        <f t="shared" si="6"/>
        <v>21</v>
      </c>
      <c r="N6" s="9">
        <f t="shared" ref="N6:R17" si="7">$C6*D6</f>
        <v>630</v>
      </c>
      <c r="O6" s="9">
        <f t="shared" si="7"/>
        <v>630</v>
      </c>
      <c r="P6" s="9">
        <f t="shared" ref="P6:Q17" si="8">$C6*F6</f>
        <v>555</v>
      </c>
      <c r="Q6" s="9">
        <f t="shared" si="8"/>
        <v>810</v>
      </c>
      <c r="R6" s="9">
        <f t="shared" si="7"/>
        <v>915</v>
      </c>
      <c r="S6" s="11">
        <f t="shared" ref="S6:S17" si="9">0.5*$C6*I6</f>
        <v>15</v>
      </c>
      <c r="T6" s="11">
        <f t="shared" si="5"/>
        <v>15</v>
      </c>
      <c r="U6" s="11">
        <f t="shared" si="5"/>
        <v>0</v>
      </c>
      <c r="V6" s="11">
        <f t="shared" si="5"/>
        <v>105</v>
      </c>
      <c r="W6" s="11">
        <f t="shared" si="5"/>
        <v>157.5</v>
      </c>
      <c r="X6" s="13">
        <f t="shared" ref="X6:X17" si="10">N6+S6</f>
        <v>645</v>
      </c>
      <c r="Y6" s="13">
        <f t="shared" ref="Y6:Y17" si="11">O6+T6</f>
        <v>645</v>
      </c>
      <c r="Z6" s="13">
        <f t="shared" ref="Z6:Z17" si="12">P6+U6</f>
        <v>555</v>
      </c>
      <c r="AA6" s="13">
        <f t="shared" ref="AA6:AA17" si="13">Q6+V6</f>
        <v>915</v>
      </c>
      <c r="AB6" s="13">
        <f t="shared" ref="AB6:AB17" si="14">R6+W6</f>
        <v>1072.5</v>
      </c>
      <c r="AC6" s="1">
        <f t="shared" ref="AC6:AC17" si="15">SUM(X6:AB6)</f>
        <v>3832.5</v>
      </c>
    </row>
    <row r="7" spans="1:29" x14ac:dyDescent="0.3">
      <c r="A7" t="s">
        <v>6</v>
      </c>
      <c r="B7" t="s">
        <v>7</v>
      </c>
      <c r="C7" s="1">
        <v>12</v>
      </c>
      <c r="D7" s="5">
        <v>44</v>
      </c>
      <c r="E7" s="5">
        <v>45</v>
      </c>
      <c r="F7" s="5">
        <v>38</v>
      </c>
      <c r="G7" s="5">
        <v>58</v>
      </c>
      <c r="H7" s="5">
        <v>62</v>
      </c>
      <c r="I7" s="7">
        <f t="shared" si="6"/>
        <v>4</v>
      </c>
      <c r="J7" s="7">
        <f t="shared" si="6"/>
        <v>5</v>
      </c>
      <c r="K7" s="7">
        <f t="shared" si="6"/>
        <v>0</v>
      </c>
      <c r="L7" s="7">
        <f t="shared" si="6"/>
        <v>18</v>
      </c>
      <c r="M7" s="7">
        <f t="shared" si="6"/>
        <v>22</v>
      </c>
      <c r="N7" s="9">
        <f t="shared" si="7"/>
        <v>528</v>
      </c>
      <c r="O7" s="9">
        <f t="shared" si="7"/>
        <v>540</v>
      </c>
      <c r="P7" s="9">
        <f t="shared" si="8"/>
        <v>456</v>
      </c>
      <c r="Q7" s="9">
        <f t="shared" si="8"/>
        <v>696</v>
      </c>
      <c r="R7" s="9">
        <f t="shared" si="7"/>
        <v>744</v>
      </c>
      <c r="S7" s="11">
        <f t="shared" si="9"/>
        <v>24</v>
      </c>
      <c r="T7" s="11">
        <f t="shared" si="5"/>
        <v>30</v>
      </c>
      <c r="U7" s="11">
        <f t="shared" si="5"/>
        <v>0</v>
      </c>
      <c r="V7" s="11">
        <f t="shared" si="5"/>
        <v>108</v>
      </c>
      <c r="W7" s="11">
        <f t="shared" si="5"/>
        <v>132</v>
      </c>
      <c r="X7" s="13">
        <f t="shared" si="10"/>
        <v>552</v>
      </c>
      <c r="Y7" s="13">
        <f t="shared" si="11"/>
        <v>570</v>
      </c>
      <c r="Z7" s="13">
        <f t="shared" si="12"/>
        <v>456</v>
      </c>
      <c r="AA7" s="13">
        <f t="shared" si="13"/>
        <v>804</v>
      </c>
      <c r="AB7" s="13">
        <f t="shared" si="14"/>
        <v>876</v>
      </c>
      <c r="AC7" s="1">
        <f t="shared" si="15"/>
        <v>3258</v>
      </c>
    </row>
    <row r="8" spans="1:29" x14ac:dyDescent="0.3">
      <c r="A8" t="s">
        <v>8</v>
      </c>
      <c r="B8" t="s">
        <v>9</v>
      </c>
      <c r="C8" s="1">
        <v>85</v>
      </c>
      <c r="D8" s="5">
        <v>35</v>
      </c>
      <c r="E8" s="5">
        <v>35</v>
      </c>
      <c r="F8" s="5">
        <v>39</v>
      </c>
      <c r="G8" s="5">
        <v>53</v>
      </c>
      <c r="H8" s="5">
        <v>64</v>
      </c>
      <c r="I8" s="7">
        <f t="shared" si="6"/>
        <v>0</v>
      </c>
      <c r="J8" s="7">
        <f t="shared" si="6"/>
        <v>0</v>
      </c>
      <c r="K8" s="7">
        <f t="shared" si="6"/>
        <v>0</v>
      </c>
      <c r="L8" s="7">
        <f t="shared" si="6"/>
        <v>13</v>
      </c>
      <c r="M8" s="7">
        <f t="shared" si="6"/>
        <v>24</v>
      </c>
      <c r="N8" s="9">
        <f t="shared" si="7"/>
        <v>2975</v>
      </c>
      <c r="O8" s="9">
        <f t="shared" si="7"/>
        <v>2975</v>
      </c>
      <c r="P8" s="9">
        <f t="shared" si="8"/>
        <v>3315</v>
      </c>
      <c r="Q8" s="9">
        <f t="shared" si="8"/>
        <v>4505</v>
      </c>
      <c r="R8" s="9">
        <f t="shared" si="7"/>
        <v>5440</v>
      </c>
      <c r="S8" s="11">
        <f t="shared" si="9"/>
        <v>0</v>
      </c>
      <c r="T8" s="11">
        <f t="shared" si="5"/>
        <v>0</v>
      </c>
      <c r="U8" s="11">
        <f t="shared" si="5"/>
        <v>0</v>
      </c>
      <c r="V8" s="11">
        <f t="shared" si="5"/>
        <v>552.5</v>
      </c>
      <c r="W8" s="11">
        <f t="shared" si="5"/>
        <v>1020</v>
      </c>
      <c r="X8" s="13">
        <f t="shared" si="10"/>
        <v>2975</v>
      </c>
      <c r="Y8" s="13">
        <f t="shared" si="11"/>
        <v>2975</v>
      </c>
      <c r="Z8" s="13">
        <f t="shared" si="12"/>
        <v>3315</v>
      </c>
      <c r="AA8" s="13">
        <f t="shared" si="13"/>
        <v>5057.5</v>
      </c>
      <c r="AB8" s="13">
        <f t="shared" si="14"/>
        <v>6460</v>
      </c>
      <c r="AC8" s="1">
        <f t="shared" si="15"/>
        <v>20782.5</v>
      </c>
    </row>
    <row r="9" spans="1:29" x14ac:dyDescent="0.3">
      <c r="A9" t="s">
        <v>10</v>
      </c>
      <c r="B9" t="s">
        <v>11</v>
      </c>
      <c r="C9" s="1">
        <v>32</v>
      </c>
      <c r="D9" s="5">
        <v>45</v>
      </c>
      <c r="E9" s="5">
        <v>36</v>
      </c>
      <c r="F9" s="5">
        <v>40</v>
      </c>
      <c r="G9" s="5">
        <v>52</v>
      </c>
      <c r="H9" s="5">
        <v>65</v>
      </c>
      <c r="I9" s="7">
        <f t="shared" si="6"/>
        <v>5</v>
      </c>
      <c r="J9" s="7">
        <f t="shared" si="6"/>
        <v>0</v>
      </c>
      <c r="K9" s="7">
        <f t="shared" si="6"/>
        <v>0</v>
      </c>
      <c r="L9" s="7">
        <f t="shared" si="6"/>
        <v>12</v>
      </c>
      <c r="M9" s="7">
        <f t="shared" si="6"/>
        <v>25</v>
      </c>
      <c r="N9" s="9">
        <f t="shared" si="7"/>
        <v>1440</v>
      </c>
      <c r="O9" s="9">
        <f t="shared" si="7"/>
        <v>1152</v>
      </c>
      <c r="P9" s="9">
        <f t="shared" si="8"/>
        <v>1280</v>
      </c>
      <c r="Q9" s="9">
        <f t="shared" si="8"/>
        <v>1664</v>
      </c>
      <c r="R9" s="9">
        <f t="shared" si="7"/>
        <v>2080</v>
      </c>
      <c r="S9" s="11">
        <f t="shared" si="9"/>
        <v>80</v>
      </c>
      <c r="T9" s="11">
        <f t="shared" si="5"/>
        <v>0</v>
      </c>
      <c r="U9" s="11">
        <f t="shared" si="5"/>
        <v>0</v>
      </c>
      <c r="V9" s="11">
        <f t="shared" si="5"/>
        <v>192</v>
      </c>
      <c r="W9" s="11">
        <f t="shared" si="5"/>
        <v>400</v>
      </c>
      <c r="X9" s="13">
        <f t="shared" si="10"/>
        <v>1520</v>
      </c>
      <c r="Y9" s="13">
        <f t="shared" si="11"/>
        <v>1152</v>
      </c>
      <c r="Z9" s="13">
        <f t="shared" si="12"/>
        <v>1280</v>
      </c>
      <c r="AA9" s="13">
        <f t="shared" si="13"/>
        <v>1856</v>
      </c>
      <c r="AB9" s="13">
        <f t="shared" si="14"/>
        <v>2480</v>
      </c>
      <c r="AC9" s="1">
        <f t="shared" si="15"/>
        <v>8288</v>
      </c>
    </row>
    <row r="10" spans="1:29" x14ac:dyDescent="0.3">
      <c r="A10" t="s">
        <v>12</v>
      </c>
      <c r="B10" t="s">
        <v>13</v>
      </c>
      <c r="C10" s="1">
        <v>28</v>
      </c>
      <c r="D10" s="5">
        <v>37</v>
      </c>
      <c r="E10" s="5">
        <v>41</v>
      </c>
      <c r="F10" s="5">
        <v>41</v>
      </c>
      <c r="G10" s="5">
        <v>51</v>
      </c>
      <c r="H10" s="5">
        <v>66</v>
      </c>
      <c r="I10" s="7">
        <f t="shared" si="6"/>
        <v>0</v>
      </c>
      <c r="J10" s="7">
        <f t="shared" si="6"/>
        <v>1</v>
      </c>
      <c r="K10" s="7">
        <f t="shared" si="6"/>
        <v>1</v>
      </c>
      <c r="L10" s="7">
        <f t="shared" si="6"/>
        <v>11</v>
      </c>
      <c r="M10" s="7">
        <f t="shared" si="6"/>
        <v>26</v>
      </c>
      <c r="N10" s="9">
        <f t="shared" si="7"/>
        <v>1036</v>
      </c>
      <c r="O10" s="9">
        <f t="shared" si="7"/>
        <v>1148</v>
      </c>
      <c r="P10" s="9">
        <f t="shared" si="8"/>
        <v>1148</v>
      </c>
      <c r="Q10" s="9">
        <f t="shared" si="8"/>
        <v>1428</v>
      </c>
      <c r="R10" s="9">
        <f t="shared" si="7"/>
        <v>1848</v>
      </c>
      <c r="S10" s="11">
        <f t="shared" si="9"/>
        <v>0</v>
      </c>
      <c r="T10" s="11">
        <f t="shared" si="5"/>
        <v>14</v>
      </c>
      <c r="U10" s="11">
        <f t="shared" si="5"/>
        <v>14</v>
      </c>
      <c r="V10" s="11">
        <f t="shared" si="5"/>
        <v>154</v>
      </c>
      <c r="W10" s="11">
        <f t="shared" si="5"/>
        <v>364</v>
      </c>
      <c r="X10" s="13">
        <f t="shared" si="10"/>
        <v>1036</v>
      </c>
      <c r="Y10" s="13">
        <f t="shared" si="11"/>
        <v>1162</v>
      </c>
      <c r="Z10" s="13">
        <f t="shared" si="12"/>
        <v>1162</v>
      </c>
      <c r="AA10" s="13">
        <f t="shared" si="13"/>
        <v>1582</v>
      </c>
      <c r="AB10" s="13">
        <f t="shared" si="14"/>
        <v>2212</v>
      </c>
      <c r="AC10" s="1">
        <f t="shared" si="15"/>
        <v>7154</v>
      </c>
    </row>
    <row r="11" spans="1:29" x14ac:dyDescent="0.3">
      <c r="A11" t="s">
        <v>15</v>
      </c>
      <c r="B11" t="s">
        <v>20</v>
      </c>
      <c r="C11" s="1">
        <v>56</v>
      </c>
      <c r="D11" s="5">
        <v>35</v>
      </c>
      <c r="E11" s="5">
        <v>44</v>
      </c>
      <c r="F11" s="5">
        <v>42</v>
      </c>
      <c r="G11" s="5">
        <v>55</v>
      </c>
      <c r="H11" s="5">
        <v>67</v>
      </c>
      <c r="I11" s="7">
        <f t="shared" si="6"/>
        <v>0</v>
      </c>
      <c r="J11" s="7">
        <f t="shared" si="6"/>
        <v>4</v>
      </c>
      <c r="K11" s="7">
        <f t="shared" si="6"/>
        <v>2</v>
      </c>
      <c r="L11" s="7">
        <f t="shared" si="6"/>
        <v>15</v>
      </c>
      <c r="M11" s="7">
        <f t="shared" si="6"/>
        <v>27</v>
      </c>
      <c r="N11" s="9">
        <f t="shared" si="7"/>
        <v>1960</v>
      </c>
      <c r="O11" s="9">
        <f t="shared" si="7"/>
        <v>2464</v>
      </c>
      <c r="P11" s="9">
        <f t="shared" si="8"/>
        <v>2352</v>
      </c>
      <c r="Q11" s="9">
        <f t="shared" si="8"/>
        <v>3080</v>
      </c>
      <c r="R11" s="9">
        <f t="shared" si="7"/>
        <v>3752</v>
      </c>
      <c r="S11" s="11">
        <f t="shared" si="9"/>
        <v>0</v>
      </c>
      <c r="T11" s="11">
        <f t="shared" si="5"/>
        <v>112</v>
      </c>
      <c r="U11" s="11">
        <f t="shared" si="5"/>
        <v>56</v>
      </c>
      <c r="V11" s="11">
        <f t="shared" si="5"/>
        <v>420</v>
      </c>
      <c r="W11" s="11">
        <f t="shared" si="5"/>
        <v>756</v>
      </c>
      <c r="X11" s="13">
        <f t="shared" si="10"/>
        <v>1960</v>
      </c>
      <c r="Y11" s="13">
        <f t="shared" si="11"/>
        <v>2576</v>
      </c>
      <c r="Z11" s="13">
        <f>P11+U11</f>
        <v>2408</v>
      </c>
      <c r="AA11" s="13">
        <f>Q11+V11</f>
        <v>3500</v>
      </c>
      <c r="AB11" s="13">
        <f t="shared" si="14"/>
        <v>4508</v>
      </c>
      <c r="AC11" s="1">
        <f t="shared" si="15"/>
        <v>14952</v>
      </c>
    </row>
    <row r="12" spans="1:29" x14ac:dyDescent="0.3">
      <c r="A12" t="s">
        <v>16</v>
      </c>
      <c r="B12" t="s">
        <v>33</v>
      </c>
      <c r="C12" s="1">
        <v>47</v>
      </c>
      <c r="D12" s="5">
        <v>40</v>
      </c>
      <c r="E12" s="5">
        <v>42</v>
      </c>
      <c r="F12" s="5">
        <v>43</v>
      </c>
      <c r="G12" s="5">
        <v>56</v>
      </c>
      <c r="H12" s="5">
        <v>66</v>
      </c>
      <c r="I12" s="7">
        <f t="shared" si="6"/>
        <v>0</v>
      </c>
      <c r="J12" s="7">
        <f t="shared" si="6"/>
        <v>2</v>
      </c>
      <c r="K12" s="7">
        <f t="shared" si="6"/>
        <v>3</v>
      </c>
      <c r="L12" s="7">
        <f t="shared" si="6"/>
        <v>16</v>
      </c>
      <c r="M12" s="7">
        <f t="shared" si="6"/>
        <v>26</v>
      </c>
      <c r="N12" s="9">
        <f t="shared" si="7"/>
        <v>1880</v>
      </c>
      <c r="O12" s="9">
        <f t="shared" si="7"/>
        <v>1974</v>
      </c>
      <c r="P12" s="9">
        <f t="shared" si="8"/>
        <v>2021</v>
      </c>
      <c r="Q12" s="9">
        <f t="shared" si="8"/>
        <v>2632</v>
      </c>
      <c r="R12" s="9">
        <f t="shared" si="7"/>
        <v>3102</v>
      </c>
      <c r="S12" s="11">
        <f t="shared" si="9"/>
        <v>0</v>
      </c>
      <c r="T12" s="11">
        <f t="shared" si="5"/>
        <v>47</v>
      </c>
      <c r="U12" s="11">
        <f t="shared" si="5"/>
        <v>70.5</v>
      </c>
      <c r="V12" s="11">
        <f t="shared" si="5"/>
        <v>376</v>
      </c>
      <c r="W12" s="11">
        <f t="shared" si="5"/>
        <v>611</v>
      </c>
      <c r="X12" s="13">
        <f t="shared" si="10"/>
        <v>1880</v>
      </c>
      <c r="Y12" s="13">
        <f t="shared" si="11"/>
        <v>2021</v>
      </c>
      <c r="Z12" s="13">
        <f t="shared" si="12"/>
        <v>2091.5</v>
      </c>
      <c r="AA12" s="13">
        <f t="shared" si="13"/>
        <v>3008</v>
      </c>
      <c r="AB12" s="13">
        <f t="shared" si="14"/>
        <v>3713</v>
      </c>
      <c r="AC12" s="1">
        <f t="shared" si="15"/>
        <v>12713.5</v>
      </c>
    </row>
    <row r="13" spans="1:29" x14ac:dyDescent="0.3">
      <c r="A13" t="s">
        <v>17</v>
      </c>
      <c r="B13" t="s">
        <v>21</v>
      </c>
      <c r="C13" s="1">
        <v>16</v>
      </c>
      <c r="D13" s="5">
        <v>44</v>
      </c>
      <c r="E13" s="5">
        <v>40</v>
      </c>
      <c r="F13" s="5">
        <v>44</v>
      </c>
      <c r="G13" s="5">
        <v>54</v>
      </c>
      <c r="H13" s="5">
        <v>67</v>
      </c>
      <c r="I13" s="7">
        <f t="shared" si="6"/>
        <v>4</v>
      </c>
      <c r="J13" s="7">
        <f t="shared" si="6"/>
        <v>0</v>
      </c>
      <c r="K13" s="7">
        <f t="shared" si="6"/>
        <v>4</v>
      </c>
      <c r="L13" s="7">
        <f t="shared" si="6"/>
        <v>14</v>
      </c>
      <c r="M13" s="7">
        <f t="shared" si="6"/>
        <v>27</v>
      </c>
      <c r="N13" s="9">
        <f t="shared" si="7"/>
        <v>704</v>
      </c>
      <c r="O13" s="9">
        <f t="shared" si="7"/>
        <v>640</v>
      </c>
      <c r="P13" s="9">
        <f t="shared" si="8"/>
        <v>704</v>
      </c>
      <c r="Q13" s="9">
        <f t="shared" si="8"/>
        <v>864</v>
      </c>
      <c r="R13" s="9">
        <f t="shared" si="7"/>
        <v>1072</v>
      </c>
      <c r="S13" s="11">
        <f t="shared" si="9"/>
        <v>32</v>
      </c>
      <c r="T13" s="11">
        <f t="shared" si="5"/>
        <v>0</v>
      </c>
      <c r="U13" s="11">
        <f t="shared" si="5"/>
        <v>32</v>
      </c>
      <c r="V13" s="11">
        <f t="shared" si="5"/>
        <v>112</v>
      </c>
      <c r="W13" s="11">
        <f t="shared" si="5"/>
        <v>216</v>
      </c>
      <c r="X13" s="13">
        <f t="shared" si="10"/>
        <v>736</v>
      </c>
      <c r="Y13" s="13">
        <f t="shared" si="11"/>
        <v>640</v>
      </c>
      <c r="Z13" s="13">
        <f t="shared" si="12"/>
        <v>736</v>
      </c>
      <c r="AA13" s="13">
        <f t="shared" si="13"/>
        <v>976</v>
      </c>
      <c r="AB13" s="13">
        <f t="shared" si="14"/>
        <v>1288</v>
      </c>
      <c r="AC13" s="1">
        <f t="shared" si="15"/>
        <v>4376</v>
      </c>
    </row>
    <row r="14" spans="1:29" x14ac:dyDescent="0.3">
      <c r="A14" t="s">
        <v>18</v>
      </c>
      <c r="B14" t="s">
        <v>22</v>
      </c>
      <c r="C14" s="1">
        <v>27</v>
      </c>
      <c r="D14" s="5">
        <v>40</v>
      </c>
      <c r="E14" s="5">
        <v>40</v>
      </c>
      <c r="F14" s="5">
        <v>46</v>
      </c>
      <c r="G14" s="5">
        <v>57</v>
      </c>
      <c r="H14" s="5">
        <v>63</v>
      </c>
      <c r="I14" s="7">
        <f t="shared" si="6"/>
        <v>0</v>
      </c>
      <c r="J14" s="7">
        <f t="shared" si="6"/>
        <v>0</v>
      </c>
      <c r="K14" s="7">
        <f t="shared" si="6"/>
        <v>6</v>
      </c>
      <c r="L14" s="7">
        <f t="shared" si="6"/>
        <v>17</v>
      </c>
      <c r="M14" s="7">
        <f t="shared" si="6"/>
        <v>23</v>
      </c>
      <c r="N14" s="9">
        <f t="shared" si="7"/>
        <v>1080</v>
      </c>
      <c r="O14" s="9">
        <f t="shared" si="7"/>
        <v>1080</v>
      </c>
      <c r="P14" s="9">
        <f t="shared" si="8"/>
        <v>1242</v>
      </c>
      <c r="Q14" s="9">
        <f t="shared" si="8"/>
        <v>1539</v>
      </c>
      <c r="R14" s="9">
        <f t="shared" si="7"/>
        <v>1701</v>
      </c>
      <c r="S14" s="11">
        <f t="shared" si="9"/>
        <v>0</v>
      </c>
      <c r="T14" s="11">
        <f t="shared" si="5"/>
        <v>0</v>
      </c>
      <c r="U14" s="11">
        <f t="shared" si="5"/>
        <v>81</v>
      </c>
      <c r="V14" s="11">
        <f t="shared" si="5"/>
        <v>229.5</v>
      </c>
      <c r="W14" s="11">
        <f t="shared" si="5"/>
        <v>310.5</v>
      </c>
      <c r="X14" s="13">
        <f t="shared" si="10"/>
        <v>1080</v>
      </c>
      <c r="Y14" s="13">
        <f t="shared" si="11"/>
        <v>1080</v>
      </c>
      <c r="Z14" s="13">
        <f t="shared" si="12"/>
        <v>1323</v>
      </c>
      <c r="AA14" s="13">
        <f t="shared" si="13"/>
        <v>1768.5</v>
      </c>
      <c r="AB14" s="13">
        <f t="shared" si="14"/>
        <v>2011.5</v>
      </c>
      <c r="AC14" s="1">
        <f t="shared" si="15"/>
        <v>7263</v>
      </c>
    </row>
    <row r="15" spans="1:29" x14ac:dyDescent="0.3">
      <c r="A15" t="s">
        <v>19</v>
      </c>
      <c r="B15" t="s">
        <v>23</v>
      </c>
      <c r="C15" s="1">
        <v>54</v>
      </c>
      <c r="D15" s="5">
        <v>37</v>
      </c>
      <c r="E15" s="5">
        <v>41</v>
      </c>
      <c r="F15" s="5">
        <v>47</v>
      </c>
      <c r="G15" s="5">
        <v>58</v>
      </c>
      <c r="H15" s="5">
        <v>67</v>
      </c>
      <c r="I15" s="7">
        <f t="shared" si="6"/>
        <v>0</v>
      </c>
      <c r="J15" s="7">
        <f t="shared" si="6"/>
        <v>1</v>
      </c>
      <c r="K15" s="7">
        <f t="shared" si="6"/>
        <v>7</v>
      </c>
      <c r="L15" s="7">
        <f t="shared" si="6"/>
        <v>18</v>
      </c>
      <c r="M15" s="7">
        <f t="shared" si="6"/>
        <v>27</v>
      </c>
      <c r="N15" s="9">
        <f t="shared" si="7"/>
        <v>1998</v>
      </c>
      <c r="O15" s="9">
        <f t="shared" si="7"/>
        <v>2214</v>
      </c>
      <c r="P15" s="9">
        <f t="shared" si="8"/>
        <v>2538</v>
      </c>
      <c r="Q15" s="9">
        <f t="shared" si="8"/>
        <v>3132</v>
      </c>
      <c r="R15" s="9">
        <f t="shared" si="7"/>
        <v>3618</v>
      </c>
      <c r="S15" s="11">
        <f t="shared" si="9"/>
        <v>0</v>
      </c>
      <c r="T15" s="11">
        <f t="shared" si="5"/>
        <v>27</v>
      </c>
      <c r="U15" s="11">
        <f t="shared" si="5"/>
        <v>189</v>
      </c>
      <c r="V15" s="11">
        <f t="shared" si="5"/>
        <v>486</v>
      </c>
      <c r="W15" s="11">
        <f t="shared" si="5"/>
        <v>729</v>
      </c>
      <c r="X15" s="13">
        <f t="shared" si="10"/>
        <v>1998</v>
      </c>
      <c r="Y15" s="13">
        <f t="shared" si="11"/>
        <v>2241</v>
      </c>
      <c r="Z15" s="13">
        <f t="shared" si="12"/>
        <v>2727</v>
      </c>
      <c r="AA15" s="13">
        <f t="shared" si="13"/>
        <v>3618</v>
      </c>
      <c r="AB15" s="13">
        <f t="shared" si="14"/>
        <v>4347</v>
      </c>
      <c r="AC15" s="1">
        <f t="shared" si="15"/>
        <v>14931</v>
      </c>
    </row>
    <row r="16" spans="1:29" x14ac:dyDescent="0.3">
      <c r="A16" t="s">
        <v>24</v>
      </c>
      <c r="B16" t="s">
        <v>25</v>
      </c>
      <c r="C16" s="1">
        <v>22</v>
      </c>
      <c r="D16" s="5">
        <v>40</v>
      </c>
      <c r="E16" s="5">
        <v>42</v>
      </c>
      <c r="F16" s="5">
        <v>50</v>
      </c>
      <c r="G16" s="5">
        <v>55</v>
      </c>
      <c r="H16" s="5">
        <v>52</v>
      </c>
      <c r="I16" s="7">
        <f t="shared" si="6"/>
        <v>0</v>
      </c>
      <c r="J16" s="7">
        <f t="shared" si="6"/>
        <v>2</v>
      </c>
      <c r="K16" s="7">
        <f t="shared" si="6"/>
        <v>10</v>
      </c>
      <c r="L16" s="7">
        <f t="shared" si="6"/>
        <v>15</v>
      </c>
      <c r="M16" s="7">
        <f t="shared" si="6"/>
        <v>12</v>
      </c>
      <c r="N16" s="9">
        <f t="shared" si="7"/>
        <v>880</v>
      </c>
      <c r="O16" s="9">
        <f t="shared" si="7"/>
        <v>924</v>
      </c>
      <c r="P16" s="9">
        <f t="shared" si="8"/>
        <v>1100</v>
      </c>
      <c r="Q16" s="9">
        <f t="shared" si="8"/>
        <v>1210</v>
      </c>
      <c r="R16" s="9">
        <f t="shared" si="7"/>
        <v>1144</v>
      </c>
      <c r="S16" s="11">
        <f t="shared" si="9"/>
        <v>0</v>
      </c>
      <c r="T16" s="11">
        <f t="shared" si="5"/>
        <v>22</v>
      </c>
      <c r="U16" s="11">
        <f t="shared" si="5"/>
        <v>110</v>
      </c>
      <c r="V16" s="11">
        <f t="shared" si="5"/>
        <v>165</v>
      </c>
      <c r="W16" s="11">
        <f t="shared" si="5"/>
        <v>132</v>
      </c>
      <c r="X16" s="13">
        <f t="shared" si="10"/>
        <v>880</v>
      </c>
      <c r="Y16" s="13">
        <f t="shared" si="11"/>
        <v>946</v>
      </c>
      <c r="Z16" s="13">
        <f t="shared" si="12"/>
        <v>1210</v>
      </c>
      <c r="AA16" s="13">
        <f t="shared" si="13"/>
        <v>1375</v>
      </c>
      <c r="AB16" s="13">
        <f t="shared" si="14"/>
        <v>1276</v>
      </c>
      <c r="AC16" s="1">
        <f t="shared" si="15"/>
        <v>5687</v>
      </c>
    </row>
    <row r="17" spans="1:32" x14ac:dyDescent="0.3">
      <c r="A17" t="s">
        <v>27</v>
      </c>
      <c r="B17" t="s">
        <v>26</v>
      </c>
      <c r="C17" s="1">
        <v>47</v>
      </c>
      <c r="D17" s="5">
        <v>41</v>
      </c>
      <c r="E17" s="5">
        <v>43</v>
      </c>
      <c r="F17" s="5">
        <v>50</v>
      </c>
      <c r="G17" s="5">
        <v>52</v>
      </c>
      <c r="H17" s="5">
        <v>50</v>
      </c>
      <c r="I17" s="7">
        <f t="shared" si="6"/>
        <v>1</v>
      </c>
      <c r="J17" s="7">
        <f t="shared" si="6"/>
        <v>3</v>
      </c>
      <c r="K17" s="7">
        <f t="shared" si="6"/>
        <v>10</v>
      </c>
      <c r="L17" s="7">
        <f t="shared" si="6"/>
        <v>12</v>
      </c>
      <c r="M17" s="7">
        <f t="shared" si="6"/>
        <v>10</v>
      </c>
      <c r="N17" s="9">
        <f t="shared" si="7"/>
        <v>1927</v>
      </c>
      <c r="O17" s="9">
        <f t="shared" si="7"/>
        <v>2021</v>
      </c>
      <c r="P17" s="9">
        <f t="shared" si="8"/>
        <v>2350</v>
      </c>
      <c r="Q17" s="9">
        <f t="shared" si="8"/>
        <v>2444</v>
      </c>
      <c r="R17" s="9">
        <f t="shared" si="7"/>
        <v>2350</v>
      </c>
      <c r="S17" s="11">
        <f t="shared" si="9"/>
        <v>23.5</v>
      </c>
      <c r="T17" s="11">
        <f t="shared" si="5"/>
        <v>70.5</v>
      </c>
      <c r="U17" s="11">
        <f t="shared" si="5"/>
        <v>235</v>
      </c>
      <c r="V17" s="11">
        <f t="shared" si="5"/>
        <v>282</v>
      </c>
      <c r="W17" s="11">
        <f t="shared" si="5"/>
        <v>235</v>
      </c>
      <c r="X17" s="13">
        <f t="shared" si="10"/>
        <v>1950.5</v>
      </c>
      <c r="Y17" s="13">
        <f t="shared" si="11"/>
        <v>2091.5</v>
      </c>
      <c r="Z17" s="13">
        <f t="shared" si="12"/>
        <v>2585</v>
      </c>
      <c r="AA17" s="13">
        <f t="shared" si="13"/>
        <v>2726</v>
      </c>
      <c r="AB17" s="13">
        <f t="shared" si="14"/>
        <v>2585</v>
      </c>
      <c r="AC17" s="1">
        <f t="shared" si="15"/>
        <v>11938</v>
      </c>
    </row>
    <row r="18" spans="1:32" x14ac:dyDescent="0.3">
      <c r="S18" s="3"/>
      <c r="T18" s="3"/>
      <c r="U18" s="3"/>
      <c r="V18" s="3"/>
      <c r="W18" s="3"/>
    </row>
    <row r="19" spans="1:32" x14ac:dyDescent="0.3">
      <c r="A19" t="s">
        <v>28</v>
      </c>
      <c r="B19" s="2"/>
      <c r="C19" s="2">
        <f t="shared" ref="B19:M19" si="16">AVERAGE(C5:C17)</f>
        <v>36.153846153846153</v>
      </c>
      <c r="D19" s="2">
        <f t="shared" si="16"/>
        <v>40</v>
      </c>
      <c r="E19" s="2">
        <f t="shared" si="16"/>
        <v>40.846153846153847</v>
      </c>
      <c r="F19" s="2">
        <f t="shared" si="16"/>
        <v>42.53846153846154</v>
      </c>
      <c r="G19" s="2">
        <f t="shared" si="16"/>
        <v>54.230769230769234</v>
      </c>
      <c r="H19" s="2">
        <f t="shared" si="16"/>
        <v>62.307692307692307</v>
      </c>
      <c r="I19" s="2">
        <f t="shared" si="16"/>
        <v>1.2307692307692308</v>
      </c>
      <c r="J19" s="2">
        <f t="shared" si="16"/>
        <v>1.5384615384615385</v>
      </c>
      <c r="K19" s="2">
        <f t="shared" si="16"/>
        <v>3.3076923076923075</v>
      </c>
      <c r="L19" s="2">
        <f t="shared" si="16"/>
        <v>14.23076923076923</v>
      </c>
      <c r="M19" s="2">
        <f t="shared" si="16"/>
        <v>22.307692307692307</v>
      </c>
      <c r="N19" s="2">
        <f t="shared" ref="I19:Q19" si="17">AVERAGE(N5:N17)</f>
        <v>1399.8461538461538</v>
      </c>
      <c r="O19" s="2">
        <f t="shared" si="17"/>
        <v>1455.5384615384614</v>
      </c>
      <c r="P19" s="2">
        <f t="shared" si="17"/>
        <v>1546.5384615384614</v>
      </c>
      <c r="Q19" s="2">
        <f t="shared" si="17"/>
        <v>1958</v>
      </c>
      <c r="R19" s="2">
        <f t="shared" ref="E19:AF21" si="18">AVERAGE(R5:R17)</f>
        <v>2269.6923076923076</v>
      </c>
      <c r="S19" s="2">
        <f t="shared" si="18"/>
        <v>13.423076923076923</v>
      </c>
      <c r="T19" s="2">
        <f t="shared" si="18"/>
        <v>25.96153846153846</v>
      </c>
      <c r="U19" s="2">
        <f t="shared" si="18"/>
        <v>60.57692307692308</v>
      </c>
      <c r="V19" s="2">
        <f t="shared" si="18"/>
        <v>255.92307692307693</v>
      </c>
      <c r="W19" s="2">
        <f t="shared" si="18"/>
        <v>411.76923076923077</v>
      </c>
      <c r="X19" s="2">
        <f t="shared" si="18"/>
        <v>1413.2692307692307</v>
      </c>
      <c r="Y19" s="2">
        <f t="shared" si="18"/>
        <v>1481.5</v>
      </c>
      <c r="Z19" s="2">
        <f t="shared" si="18"/>
        <v>1607.1153846153845</v>
      </c>
      <c r="AA19" s="2">
        <f t="shared" si="18"/>
        <v>2213.9230769230771</v>
      </c>
      <c r="AB19" s="2">
        <f t="shared" si="18"/>
        <v>2681.4615384615386</v>
      </c>
      <c r="AC19" s="2">
        <f>AVERAGE(AC5:AC17)</f>
        <v>9397.2692307692305</v>
      </c>
      <c r="AD19" s="2"/>
      <c r="AE19" s="2"/>
      <c r="AF19" s="2"/>
    </row>
    <row r="20" spans="1:32" x14ac:dyDescent="0.3">
      <c r="A20" t="s">
        <v>29</v>
      </c>
      <c r="B20" s="2">
        <f t="shared" ref="B20:M20" si="19">MIN(B6:B18)</f>
        <v>0</v>
      </c>
      <c r="C20" s="2">
        <f t="shared" si="19"/>
        <v>12</v>
      </c>
      <c r="D20" s="2">
        <f t="shared" si="19"/>
        <v>35</v>
      </c>
      <c r="E20" s="2">
        <f t="shared" si="19"/>
        <v>35</v>
      </c>
      <c r="F20" s="2">
        <f t="shared" si="19"/>
        <v>37</v>
      </c>
      <c r="G20" s="2">
        <f t="shared" si="19"/>
        <v>51</v>
      </c>
      <c r="H20" s="2">
        <f t="shared" si="19"/>
        <v>50</v>
      </c>
      <c r="I20" s="2">
        <f t="shared" si="19"/>
        <v>0</v>
      </c>
      <c r="J20" s="2">
        <f t="shared" si="19"/>
        <v>0</v>
      </c>
      <c r="K20" s="2">
        <f t="shared" si="19"/>
        <v>0</v>
      </c>
      <c r="L20" s="2">
        <f t="shared" si="19"/>
        <v>11</v>
      </c>
      <c r="M20" s="2">
        <f t="shared" si="19"/>
        <v>10</v>
      </c>
      <c r="N20" s="2">
        <f t="shared" ref="I20:Q20" si="20">MIN(N6:N18)</f>
        <v>528</v>
      </c>
      <c r="O20" s="2">
        <f t="shared" si="20"/>
        <v>540</v>
      </c>
      <c r="P20" s="2">
        <f t="shared" si="20"/>
        <v>456</v>
      </c>
      <c r="Q20" s="2">
        <f t="shared" si="20"/>
        <v>696</v>
      </c>
      <c r="R20" s="2">
        <f t="shared" ref="R20:AB20" si="21">MIN(R6:R18)</f>
        <v>744</v>
      </c>
      <c r="S20" s="2">
        <f t="shared" si="21"/>
        <v>0</v>
      </c>
      <c r="T20" s="2">
        <f t="shared" si="21"/>
        <v>0</v>
      </c>
      <c r="U20" s="2">
        <f t="shared" si="21"/>
        <v>0</v>
      </c>
      <c r="V20" s="2">
        <f t="shared" si="21"/>
        <v>105</v>
      </c>
      <c r="W20" s="2">
        <f t="shared" si="21"/>
        <v>132</v>
      </c>
      <c r="X20" s="2">
        <f t="shared" si="21"/>
        <v>552</v>
      </c>
      <c r="Y20" s="2">
        <f t="shared" si="21"/>
        <v>570</v>
      </c>
      <c r="Z20" s="2">
        <f t="shared" si="21"/>
        <v>456</v>
      </c>
      <c r="AA20" s="2">
        <f t="shared" si="21"/>
        <v>804</v>
      </c>
      <c r="AB20" s="2">
        <f t="shared" si="21"/>
        <v>876</v>
      </c>
      <c r="AC20" s="2">
        <f>MIN(AC6:AC18)</f>
        <v>3258</v>
      </c>
      <c r="AD20" s="2"/>
      <c r="AE20" s="2"/>
      <c r="AF20" s="2"/>
    </row>
    <row r="21" spans="1:32" x14ac:dyDescent="0.3">
      <c r="A21" t="s">
        <v>30</v>
      </c>
      <c r="B21" s="2">
        <f t="shared" ref="B21:M21" si="22">MAX(B7:B19)</f>
        <v>0</v>
      </c>
      <c r="C21" s="2">
        <f t="shared" si="22"/>
        <v>85</v>
      </c>
      <c r="D21" s="2">
        <f t="shared" si="22"/>
        <v>45</v>
      </c>
      <c r="E21" s="2">
        <f t="shared" si="22"/>
        <v>45</v>
      </c>
      <c r="F21" s="2">
        <f t="shared" si="22"/>
        <v>50</v>
      </c>
      <c r="G21" s="2">
        <f t="shared" si="22"/>
        <v>58</v>
      </c>
      <c r="H21" s="2">
        <f t="shared" si="22"/>
        <v>67</v>
      </c>
      <c r="I21" s="2">
        <f t="shared" si="22"/>
        <v>5</v>
      </c>
      <c r="J21" s="2">
        <f t="shared" si="22"/>
        <v>5</v>
      </c>
      <c r="K21" s="2">
        <f t="shared" si="22"/>
        <v>10</v>
      </c>
      <c r="L21" s="2">
        <f t="shared" si="22"/>
        <v>18</v>
      </c>
      <c r="M21" s="2">
        <f t="shared" si="22"/>
        <v>27</v>
      </c>
      <c r="N21" s="2">
        <f t="shared" ref="I21:Q21" si="23">MAX(N7:N19)</f>
        <v>2975</v>
      </c>
      <c r="O21" s="2">
        <f t="shared" si="23"/>
        <v>2975</v>
      </c>
      <c r="P21" s="2">
        <f t="shared" si="23"/>
        <v>3315</v>
      </c>
      <c r="Q21" s="2">
        <f t="shared" si="23"/>
        <v>4505</v>
      </c>
      <c r="R21" s="2">
        <f t="shared" ref="R21:AB21" si="24">MAX(R7:R19)</f>
        <v>5440</v>
      </c>
      <c r="S21" s="2">
        <f t="shared" si="24"/>
        <v>80</v>
      </c>
      <c r="T21" s="2">
        <f t="shared" si="24"/>
        <v>112</v>
      </c>
      <c r="U21" s="2">
        <f t="shared" si="24"/>
        <v>235</v>
      </c>
      <c r="V21" s="2">
        <f t="shared" si="24"/>
        <v>552.5</v>
      </c>
      <c r="W21" s="2">
        <f t="shared" si="24"/>
        <v>1020</v>
      </c>
      <c r="X21" s="2">
        <f t="shared" si="24"/>
        <v>2975</v>
      </c>
      <c r="Y21" s="2">
        <f t="shared" si="24"/>
        <v>2975</v>
      </c>
      <c r="Z21" s="2">
        <f t="shared" si="24"/>
        <v>3315</v>
      </c>
      <c r="AA21" s="2">
        <f t="shared" si="24"/>
        <v>5057.5</v>
      </c>
      <c r="AB21" s="2">
        <f t="shared" si="24"/>
        <v>6460</v>
      </c>
      <c r="AC21" s="2">
        <f>MAX(AC7:AC19)</f>
        <v>20782.5</v>
      </c>
      <c r="AD21" s="2"/>
      <c r="AE21" s="2"/>
      <c r="AF21" s="2"/>
    </row>
    <row r="22" spans="1:32" x14ac:dyDescent="0.3">
      <c r="A22" t="s">
        <v>31</v>
      </c>
      <c r="B22">
        <f t="shared" ref="B22:M22" si="25">SUM(B5:B17)</f>
        <v>0</v>
      </c>
      <c r="C22">
        <f t="shared" si="25"/>
        <v>470</v>
      </c>
      <c r="D22">
        <f t="shared" si="25"/>
        <v>520</v>
      </c>
      <c r="E22">
        <f t="shared" si="25"/>
        <v>531</v>
      </c>
      <c r="F22">
        <f t="shared" si="25"/>
        <v>553</v>
      </c>
      <c r="G22">
        <f t="shared" si="25"/>
        <v>705</v>
      </c>
      <c r="H22">
        <f t="shared" si="25"/>
        <v>810</v>
      </c>
      <c r="I22">
        <f t="shared" si="25"/>
        <v>16</v>
      </c>
      <c r="J22">
        <f t="shared" si="25"/>
        <v>20</v>
      </c>
      <c r="K22">
        <f t="shared" si="25"/>
        <v>43</v>
      </c>
      <c r="L22">
        <f t="shared" si="25"/>
        <v>185</v>
      </c>
      <c r="M22">
        <f t="shared" si="25"/>
        <v>290</v>
      </c>
      <c r="N22">
        <f t="shared" ref="I22:Q22" si="26">SUM(N5:N17)</f>
        <v>18198</v>
      </c>
      <c r="O22">
        <f t="shared" si="26"/>
        <v>18922</v>
      </c>
      <c r="P22">
        <f t="shared" si="26"/>
        <v>20105</v>
      </c>
      <c r="Q22">
        <f t="shared" si="26"/>
        <v>25454</v>
      </c>
      <c r="R22">
        <f t="shared" ref="E22:AD22" si="27">SUM(R5:R17)</f>
        <v>29506</v>
      </c>
      <c r="S22">
        <f t="shared" si="27"/>
        <v>174.5</v>
      </c>
      <c r="T22">
        <f t="shared" si="27"/>
        <v>337.5</v>
      </c>
      <c r="U22">
        <f t="shared" si="27"/>
        <v>787.5</v>
      </c>
      <c r="V22">
        <f t="shared" si="27"/>
        <v>3327</v>
      </c>
      <c r="W22">
        <f t="shared" si="27"/>
        <v>5353</v>
      </c>
      <c r="X22">
        <f t="shared" si="27"/>
        <v>18372.5</v>
      </c>
      <c r="Y22">
        <f t="shared" si="27"/>
        <v>19259.5</v>
      </c>
      <c r="Z22">
        <f t="shared" si="27"/>
        <v>20892.5</v>
      </c>
      <c r="AA22">
        <f t="shared" si="27"/>
        <v>28781</v>
      </c>
      <c r="AB22">
        <f t="shared" si="27"/>
        <v>34859</v>
      </c>
      <c r="AC22">
        <f t="shared" ref="AC22" si="28">SUM(AC5:AC17)</f>
        <v>122164.5</v>
      </c>
    </row>
  </sheetData>
  <pageMargins left="0.7" right="0.7" top="0.75" bottom="0.75" header="0.3" footer="0.3"/>
  <pageSetup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sunil</dc:creator>
  <cp:lastModifiedBy>pooja sunil</cp:lastModifiedBy>
  <cp:lastPrinted>2025-11-10T20:28:53Z</cp:lastPrinted>
  <dcterms:created xsi:type="dcterms:W3CDTF">2025-11-10T16:24:32Z</dcterms:created>
  <dcterms:modified xsi:type="dcterms:W3CDTF">2025-11-10T20:29:10Z</dcterms:modified>
</cp:coreProperties>
</file>